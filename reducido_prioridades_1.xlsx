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INITIVO POWER BI" sheetId="1" r:id="rId5"/>
  </sheets>
  <definedNames/>
  <calcPr/>
</workbook>
</file>

<file path=xl/sharedStrings.xml><?xml version="1.0" encoding="utf-8"?>
<sst xmlns="http://schemas.openxmlformats.org/spreadsheetml/2006/main" count="117" uniqueCount="91">
  <si>
    <t>PATENTE</t>
  </si>
  <si>
    <t>REMITO</t>
  </si>
  <si>
    <t>RUTA</t>
  </si>
  <si>
    <t xml:space="preserve">DESCRIPCION </t>
  </si>
  <si>
    <t>TIPO</t>
  </si>
  <si>
    <t>PEDIDO A</t>
  </si>
  <si>
    <t>RECEPCIÓN</t>
  </si>
  <si>
    <t>HORA PAGO</t>
  </si>
  <si>
    <t>HORA EGRESO</t>
  </si>
  <si>
    <t>PIEZA</t>
  </si>
  <si>
    <t>CANTIDAD ENTREGADA</t>
  </si>
  <si>
    <t>CANTIDAD MÍNIMA</t>
  </si>
  <si>
    <t>CANTIDAD EN LÍNEA</t>
  </si>
  <si>
    <t>ESPERA EN RECEPCIÓN</t>
  </si>
  <si>
    <t>ESPERA SIN FORMATO</t>
  </si>
  <si>
    <t>C.L/C.M</t>
  </si>
  <si>
    <t>S.STOCK</t>
  </si>
  <si>
    <t>S.TIEMPO</t>
  </si>
  <si>
    <t>S.TIPO</t>
  </si>
  <si>
    <t>IPD</t>
  </si>
  <si>
    <t>CRITICIDAD</t>
  </si>
  <si>
    <t>PHV 216</t>
  </si>
  <si>
    <t>INT-CDM1-00619382</t>
  </si>
  <si>
    <t>TR2</t>
  </si>
  <si>
    <t>CDM A GEN.</t>
  </si>
  <si>
    <t>CALL</t>
  </si>
  <si>
    <t>CDM</t>
  </si>
  <si>
    <t>GENERAL</t>
  </si>
  <si>
    <t>SISTEMAS DE ESCAPE COMPLETOS</t>
  </si>
  <si>
    <t>AF 705 KK</t>
  </si>
  <si>
    <t>INT-CDM1-00962503</t>
  </si>
  <si>
    <t>TR5</t>
  </si>
  <si>
    <t>CDM A INT.</t>
  </si>
  <si>
    <t>INTERPLANTA</t>
  </si>
  <si>
    <t>PANELES DE PUERTA COMPLETOS</t>
  </si>
  <si>
    <t>AC 810 TL</t>
  </si>
  <si>
    <t>INT-CDM1-00386097</t>
  </si>
  <si>
    <t>TR7</t>
  </si>
  <si>
    <t xml:space="preserve">CDM A RAN. </t>
  </si>
  <si>
    <t>RANGER</t>
  </si>
  <si>
    <t>NEUMÁTICOS ARMADOS (LLANTA + CUBIERTA)</t>
  </si>
  <si>
    <t>AI 214 XW</t>
  </si>
  <si>
    <t>INT-ACL1-00645427</t>
  </si>
  <si>
    <t>TR1</t>
  </si>
  <si>
    <t>ARROYO A RAN.</t>
  </si>
  <si>
    <t>ACL</t>
  </si>
  <si>
    <t>ESTRIBOS LATERALES DE ACCESO</t>
  </si>
  <si>
    <t>DKM 724</t>
  </si>
  <si>
    <t>INT-ACL1-00312537</t>
  </si>
  <si>
    <t>TR3</t>
  </si>
  <si>
    <t>ARROYO A GEN.</t>
  </si>
  <si>
    <t>RADIADORES Y ENFRIADORES DE MOTOR</t>
  </si>
  <si>
    <t>JUR 839</t>
  </si>
  <si>
    <t>INT-ACL1-00831048</t>
  </si>
  <si>
    <t>TR4</t>
  </si>
  <si>
    <t>ARROYO A INT.</t>
  </si>
  <si>
    <t>AH 503 VB</t>
  </si>
  <si>
    <t>INT-CDM1-00217464</t>
  </si>
  <si>
    <t>NRC</t>
  </si>
  <si>
    <t>RUTA HORARIA CHASIS</t>
  </si>
  <si>
    <t>CARD</t>
  </si>
  <si>
    <t>CHASIS</t>
  </si>
  <si>
    <t>PDZ 618</t>
  </si>
  <si>
    <t>INT-CDM1-00476838</t>
  </si>
  <si>
    <t>NRK</t>
  </si>
  <si>
    <t>RUTA HORARIA KITTING</t>
  </si>
  <si>
    <t>MÓDULOS Y KITS DE ENSAMBLE</t>
  </si>
  <si>
    <t>OQA 941</t>
  </si>
  <si>
    <t>INT-CDM1-00834472</t>
  </si>
  <si>
    <t>NRT</t>
  </si>
  <si>
    <t>RUTA HORARIO TAPICERIA</t>
  </si>
  <si>
    <t>TAPICERÍA</t>
  </si>
  <si>
    <t>AF 559 GA</t>
  </si>
  <si>
    <t>R-0001-00693962</t>
  </si>
  <si>
    <t>EXT</t>
  </si>
  <si>
    <t>PROVEEDOR 13 1</t>
  </si>
  <si>
    <t xml:space="preserve">CALL </t>
  </si>
  <si>
    <t>BATERÍAS DE ARRANQUE (12V)</t>
  </si>
  <si>
    <t>AI 373 YR</t>
  </si>
  <si>
    <t>R-0001-00496649</t>
  </si>
  <si>
    <t>EXT - SEC</t>
  </si>
  <si>
    <t>PROVEEDOR 12 1</t>
  </si>
  <si>
    <t>SECUENCIADO</t>
  </si>
  <si>
    <t>JIT</t>
  </si>
  <si>
    <t>SECUENCIADO BUTACAS RH</t>
  </si>
  <si>
    <t>AE 395 HN</t>
  </si>
  <si>
    <t>INT-CDM1-00078932</t>
  </si>
  <si>
    <t>INT - SEC</t>
  </si>
  <si>
    <t>PROVEEDOR 25 - 1 2</t>
  </si>
  <si>
    <t>INT</t>
  </si>
  <si>
    <t>SECUENCIADO HVAC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</si>
</sst>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&quot;:&quot;mm"/>
  </numFmts>
  <fonts count="3">
    <font>
      <sz val="10.0"/>
      <color rgb="FF000000"/>
      <name val="Arial"/>
      <scheme val="minor"/>
    </font>
    <font>
      <sz val="11.0"/>
      <color theme="1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49" xfId="0" applyFont="1" applyNumberFormat="1"/>
    <xf borderId="1" fillId="0" fontId="2" numFmtId="49" xfId="0" applyAlignment="1" applyBorder="1" applyFont="1" applyNumberFormat="1">
      <alignment horizontal="center"/>
    </xf>
    <xf borderId="1" fillId="0" fontId="2" numFmtId="49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vertical="bottom"/>
    </xf>
    <xf borderId="1" fillId="0" fontId="2" numFmtId="164" xfId="0" applyBorder="1" applyFont="1" applyNumberFormat="1"/>
    <xf borderId="1" fillId="0" fontId="2" numFmtId="0" xfId="0" applyBorder="1" applyFont="1"/>
    <xf borderId="2" fillId="0" fontId="2" numFmtId="0" xfId="0" applyBorder="1" applyFont="1"/>
    <xf borderId="1" fillId="0" fontId="2" numFmtId="164" xfId="0" applyAlignment="1" applyBorder="1" applyFont="1" applyNumberFormat="1">
      <alignment horizontal="center"/>
    </xf>
    <xf borderId="1" fillId="0" fontId="2" numFmtId="4" xfId="0" applyAlignment="1" applyBorder="1" applyFont="1" applyNumberFormat="1">
      <alignment horizontal="center"/>
    </xf>
    <xf borderId="0" fillId="2" fontId="2" numFmtId="0" xfId="0" applyFill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0" fontId="2" numFmtId="49" xfId="0" applyAlignment="1" applyBorder="1" applyFont="1" applyNumberFormat="1">
      <alignment horizontal="center" vertical="top"/>
    </xf>
    <xf borderId="1" fillId="0" fontId="2" numFmtId="164" xfId="0" applyAlignment="1" applyBorder="1" applyFont="1" applyNumberFormat="1">
      <alignment vertical="top"/>
    </xf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88"/>
    <col customWidth="1" min="2" max="2" width="19.63"/>
    <col customWidth="1" min="3" max="3" width="13.63"/>
    <col customWidth="1" min="4" max="4" width="25.88"/>
    <col customWidth="1" min="5" max="5" width="14.5"/>
    <col customWidth="1" min="6" max="6" width="17.5"/>
    <col customWidth="1" min="7" max="7" width="19.63"/>
    <col customWidth="1" min="8" max="8" width="19.88"/>
    <col customWidth="1" min="9" max="9" width="22.5"/>
    <col customWidth="1" min="10" max="10" width="44.38"/>
    <col customWidth="1" min="11" max="11" width="30.0"/>
    <col customWidth="1" min="12" max="12" width="25.25"/>
    <col customWidth="1" min="13" max="13" width="27.0"/>
    <col customWidth="1" min="14" max="14" width="26.88"/>
    <col customWidth="1" min="15" max="15" width="25.88"/>
    <col customWidth="1" min="16" max="16" width="14.88"/>
    <col customWidth="1" min="17" max="17" width="16.75"/>
    <col customWidth="1" min="18" max="18" width="17.5"/>
    <col customWidth="1" min="19" max="19" width="14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</row>
    <row r="2" ht="15.75" customHeight="1">
      <c r="A2" s="4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  <c r="H2" s="6">
        <v>0.3958333333333333</v>
      </c>
      <c r="I2" s="7">
        <v>0.4131944444444444</v>
      </c>
      <c r="J2" s="4" t="s">
        <v>28</v>
      </c>
      <c r="K2" s="8">
        <v>15.0</v>
      </c>
      <c r="L2" s="8">
        <v>25.0</v>
      </c>
      <c r="M2" s="9">
        <v>70.0</v>
      </c>
      <c r="N2" s="10">
        <f t="shared" ref="N2:N13" si="1">I2-H2</f>
        <v>0.01736111111</v>
      </c>
      <c r="O2" s="8">
        <v>25.0</v>
      </c>
      <c r="P2" s="11">
        <f t="shared" ref="P2:P13" si="2">M2/L2</f>
        <v>2.8</v>
      </c>
      <c r="Q2" s="8">
        <v>0.0</v>
      </c>
      <c r="R2" s="8">
        <v>5.0</v>
      </c>
      <c r="S2" s="8">
        <v>15.0</v>
      </c>
      <c r="T2" s="8">
        <f t="shared" ref="T2:T13" si="3">SUM(Q2:S2)</f>
        <v>20</v>
      </c>
      <c r="U2" s="12" t="str">
        <f t="shared" ref="U2:U13" si="4">IF(T2 &gt;= 56, "ALTA", IF(T2 &gt;= 26, "MEDIA", "BAJA"))</f>
        <v>BAJA</v>
      </c>
    </row>
    <row r="3" ht="15.75" customHeight="1">
      <c r="A3" s="4" t="s">
        <v>29</v>
      </c>
      <c r="B3" s="5" t="s">
        <v>30</v>
      </c>
      <c r="C3" s="5" t="s">
        <v>31</v>
      </c>
      <c r="D3" s="5" t="s">
        <v>32</v>
      </c>
      <c r="E3" s="5" t="s">
        <v>25</v>
      </c>
      <c r="F3" s="5" t="s">
        <v>26</v>
      </c>
      <c r="G3" s="5" t="s">
        <v>33</v>
      </c>
      <c r="H3" s="6">
        <v>0.3854166666666667</v>
      </c>
      <c r="I3" s="7">
        <v>0.4131944444444444</v>
      </c>
      <c r="J3" s="4" t="s">
        <v>34</v>
      </c>
      <c r="K3" s="8">
        <v>14.0</v>
      </c>
      <c r="L3" s="8">
        <v>25.0</v>
      </c>
      <c r="M3" s="9">
        <v>4.0</v>
      </c>
      <c r="N3" s="10">
        <f t="shared" si="1"/>
        <v>0.02777777778</v>
      </c>
      <c r="O3" s="8">
        <v>40.0</v>
      </c>
      <c r="P3" s="11">
        <f t="shared" si="2"/>
        <v>0.16</v>
      </c>
      <c r="Q3" s="8">
        <v>50.0</v>
      </c>
      <c r="R3" s="8">
        <v>10.0</v>
      </c>
      <c r="S3" s="8">
        <v>15.0</v>
      </c>
      <c r="T3" s="8">
        <f t="shared" si="3"/>
        <v>75</v>
      </c>
      <c r="U3" s="12" t="str">
        <f t="shared" si="4"/>
        <v>ALTA</v>
      </c>
    </row>
    <row r="4" ht="15.75" customHeight="1">
      <c r="A4" s="4" t="s">
        <v>35</v>
      </c>
      <c r="B4" s="5" t="s">
        <v>36</v>
      </c>
      <c r="C4" s="5" t="s">
        <v>37</v>
      </c>
      <c r="D4" s="5" t="s">
        <v>38</v>
      </c>
      <c r="E4" s="5" t="s">
        <v>25</v>
      </c>
      <c r="F4" s="5" t="s">
        <v>26</v>
      </c>
      <c r="G4" s="5" t="s">
        <v>39</v>
      </c>
      <c r="H4" s="6">
        <v>0.375</v>
      </c>
      <c r="I4" s="7">
        <v>0.3958333333333333</v>
      </c>
      <c r="J4" s="4" t="s">
        <v>40</v>
      </c>
      <c r="K4" s="8">
        <v>8.0</v>
      </c>
      <c r="L4" s="8">
        <v>15.0</v>
      </c>
      <c r="M4" s="9">
        <v>8.0</v>
      </c>
      <c r="N4" s="10">
        <f t="shared" si="1"/>
        <v>0.02083333333</v>
      </c>
      <c r="O4" s="8">
        <v>30.0</v>
      </c>
      <c r="P4" s="11">
        <f t="shared" si="2"/>
        <v>0.5333333333</v>
      </c>
      <c r="Q4" s="8">
        <v>35.0</v>
      </c>
      <c r="R4" s="8">
        <v>5.0</v>
      </c>
      <c r="S4" s="8">
        <v>15.0</v>
      </c>
      <c r="T4" s="8">
        <f t="shared" si="3"/>
        <v>55</v>
      </c>
      <c r="U4" s="12" t="str">
        <f t="shared" si="4"/>
        <v>MEDIA</v>
      </c>
    </row>
    <row r="5" ht="15.75" customHeight="1">
      <c r="A5" s="13" t="s">
        <v>41</v>
      </c>
      <c r="B5" s="5" t="s">
        <v>42</v>
      </c>
      <c r="C5" s="14" t="s">
        <v>43</v>
      </c>
      <c r="D5" s="14" t="s">
        <v>44</v>
      </c>
      <c r="E5" s="14" t="s">
        <v>25</v>
      </c>
      <c r="F5" s="14" t="s">
        <v>45</v>
      </c>
      <c r="G5" s="14" t="s">
        <v>39</v>
      </c>
      <c r="H5" s="6">
        <v>0.375</v>
      </c>
      <c r="I5" s="7">
        <v>0.3888888888888889</v>
      </c>
      <c r="J5" s="13" t="s">
        <v>46</v>
      </c>
      <c r="K5" s="8">
        <v>20.0</v>
      </c>
      <c r="L5" s="8">
        <v>15.0</v>
      </c>
      <c r="M5" s="9">
        <v>5.0</v>
      </c>
      <c r="N5" s="10">
        <f t="shared" si="1"/>
        <v>0.01388888889</v>
      </c>
      <c r="O5" s="8">
        <v>20.0</v>
      </c>
      <c r="P5" s="11">
        <f t="shared" si="2"/>
        <v>0.3333333333</v>
      </c>
      <c r="Q5" s="8">
        <v>35.0</v>
      </c>
      <c r="R5" s="8">
        <v>0.0</v>
      </c>
      <c r="S5" s="8">
        <v>15.0</v>
      </c>
      <c r="T5" s="8">
        <f t="shared" si="3"/>
        <v>50</v>
      </c>
      <c r="U5" s="12" t="str">
        <f t="shared" si="4"/>
        <v>MEDIA</v>
      </c>
    </row>
    <row r="6" ht="15.75" customHeight="1">
      <c r="A6" s="4" t="s">
        <v>47</v>
      </c>
      <c r="B6" s="5" t="s">
        <v>48</v>
      </c>
      <c r="C6" s="5" t="s">
        <v>49</v>
      </c>
      <c r="D6" s="5" t="s">
        <v>50</v>
      </c>
      <c r="E6" s="5" t="s">
        <v>25</v>
      </c>
      <c r="F6" s="5" t="s">
        <v>45</v>
      </c>
      <c r="G6" s="5" t="s">
        <v>27</v>
      </c>
      <c r="H6" s="6">
        <v>0.3854166666666667</v>
      </c>
      <c r="I6" s="7">
        <v>0.3993055555555556</v>
      </c>
      <c r="J6" s="4" t="s">
        <v>51</v>
      </c>
      <c r="K6" s="8">
        <v>18.0</v>
      </c>
      <c r="L6" s="8">
        <v>25.0</v>
      </c>
      <c r="M6" s="9">
        <v>12.0</v>
      </c>
      <c r="N6" s="10">
        <f t="shared" si="1"/>
        <v>0.01388888889</v>
      </c>
      <c r="O6" s="8">
        <v>20.0</v>
      </c>
      <c r="P6" s="11">
        <f t="shared" si="2"/>
        <v>0.48</v>
      </c>
      <c r="Q6" s="8">
        <v>35.0</v>
      </c>
      <c r="R6" s="8">
        <v>0.0</v>
      </c>
      <c r="S6" s="8">
        <v>15.0</v>
      </c>
      <c r="T6" s="8">
        <f t="shared" si="3"/>
        <v>50</v>
      </c>
      <c r="U6" s="12" t="str">
        <f t="shared" si="4"/>
        <v>MEDIA</v>
      </c>
    </row>
    <row r="7" ht="15.75" customHeight="1">
      <c r="A7" s="4" t="s">
        <v>52</v>
      </c>
      <c r="B7" s="5" t="s">
        <v>53</v>
      </c>
      <c r="C7" s="5" t="s">
        <v>54</v>
      </c>
      <c r="D7" s="5" t="s">
        <v>55</v>
      </c>
      <c r="E7" s="5" t="s">
        <v>25</v>
      </c>
      <c r="F7" s="5" t="s">
        <v>45</v>
      </c>
      <c r="G7" s="5" t="s">
        <v>33</v>
      </c>
      <c r="H7" s="6">
        <v>0.3854166666666667</v>
      </c>
      <c r="I7" s="7">
        <v>0.4236111111111111</v>
      </c>
      <c r="J7" s="4" t="s">
        <v>34</v>
      </c>
      <c r="K7" s="8">
        <v>20.0</v>
      </c>
      <c r="L7" s="8">
        <v>25.0</v>
      </c>
      <c r="M7" s="9">
        <v>20.0</v>
      </c>
      <c r="N7" s="10">
        <f t="shared" si="1"/>
        <v>0.03819444444</v>
      </c>
      <c r="O7" s="8">
        <v>55.0</v>
      </c>
      <c r="P7" s="11">
        <f t="shared" si="2"/>
        <v>0.8</v>
      </c>
      <c r="Q7" s="8">
        <v>20.0</v>
      </c>
      <c r="R7" s="8">
        <v>10.0</v>
      </c>
      <c r="S7" s="8">
        <v>15.0</v>
      </c>
      <c r="T7" s="8">
        <f t="shared" si="3"/>
        <v>45</v>
      </c>
      <c r="U7" s="12" t="str">
        <f t="shared" si="4"/>
        <v>MEDIA</v>
      </c>
    </row>
    <row r="8" ht="15.75" customHeight="1">
      <c r="A8" s="13" t="s">
        <v>56</v>
      </c>
      <c r="B8" s="5" t="s">
        <v>57</v>
      </c>
      <c r="C8" s="14" t="s">
        <v>58</v>
      </c>
      <c r="D8" s="14" t="s">
        <v>59</v>
      </c>
      <c r="E8" s="14" t="s">
        <v>60</v>
      </c>
      <c r="F8" s="14" t="s">
        <v>26</v>
      </c>
      <c r="G8" s="14" t="s">
        <v>33</v>
      </c>
      <c r="H8" s="6">
        <v>0.375</v>
      </c>
      <c r="I8" s="7">
        <v>0.3888888888888889</v>
      </c>
      <c r="J8" s="13" t="s">
        <v>61</v>
      </c>
      <c r="K8" s="8">
        <v>60.0</v>
      </c>
      <c r="L8" s="8">
        <v>20.0</v>
      </c>
      <c r="M8" s="9">
        <v>18.0</v>
      </c>
      <c r="N8" s="10">
        <f t="shared" si="1"/>
        <v>0.01388888889</v>
      </c>
      <c r="O8" s="8">
        <v>20.0</v>
      </c>
      <c r="P8" s="11">
        <f t="shared" si="2"/>
        <v>0.9</v>
      </c>
      <c r="Q8" s="8">
        <v>20.0</v>
      </c>
      <c r="R8" s="8">
        <v>0.0</v>
      </c>
      <c r="S8" s="8">
        <v>5.0</v>
      </c>
      <c r="T8" s="8">
        <f t="shared" si="3"/>
        <v>25</v>
      </c>
      <c r="U8" s="12" t="str">
        <f t="shared" si="4"/>
        <v>BAJA</v>
      </c>
    </row>
    <row r="9" ht="15.75" customHeight="1">
      <c r="A9" s="4" t="s">
        <v>62</v>
      </c>
      <c r="B9" s="5" t="s">
        <v>63</v>
      </c>
      <c r="C9" s="5" t="s">
        <v>64</v>
      </c>
      <c r="D9" s="5" t="s">
        <v>65</v>
      </c>
      <c r="E9" s="5" t="s">
        <v>60</v>
      </c>
      <c r="F9" s="5" t="s">
        <v>26</v>
      </c>
      <c r="G9" s="5" t="s">
        <v>33</v>
      </c>
      <c r="H9" s="6">
        <v>0.375</v>
      </c>
      <c r="I9" s="7">
        <v>0.3958333333333333</v>
      </c>
      <c r="J9" s="4" t="s">
        <v>66</v>
      </c>
      <c r="K9" s="8">
        <v>50.0</v>
      </c>
      <c r="L9" s="8">
        <v>15.0</v>
      </c>
      <c r="M9" s="9">
        <v>16.0</v>
      </c>
      <c r="N9" s="10">
        <f t="shared" si="1"/>
        <v>0.02083333333</v>
      </c>
      <c r="O9" s="8">
        <v>30.0</v>
      </c>
      <c r="P9" s="11">
        <f t="shared" si="2"/>
        <v>1.066666667</v>
      </c>
      <c r="Q9" s="8">
        <v>5.0</v>
      </c>
      <c r="R9" s="8">
        <v>5.0</v>
      </c>
      <c r="S9" s="8">
        <v>5.0</v>
      </c>
      <c r="T9" s="8">
        <f t="shared" si="3"/>
        <v>15</v>
      </c>
      <c r="U9" s="12" t="str">
        <f t="shared" si="4"/>
        <v>BAJA</v>
      </c>
    </row>
    <row r="10" ht="15.75" customHeight="1">
      <c r="A10" s="4" t="s">
        <v>67</v>
      </c>
      <c r="B10" s="5" t="s">
        <v>68</v>
      </c>
      <c r="C10" s="5" t="s">
        <v>69</v>
      </c>
      <c r="D10" s="5" t="s">
        <v>70</v>
      </c>
      <c r="E10" s="5" t="s">
        <v>60</v>
      </c>
      <c r="F10" s="5" t="s">
        <v>26</v>
      </c>
      <c r="G10" s="5" t="s">
        <v>33</v>
      </c>
      <c r="H10" s="6">
        <v>0.375</v>
      </c>
      <c r="I10" s="7">
        <v>0.40625</v>
      </c>
      <c r="J10" s="4" t="s">
        <v>71</v>
      </c>
      <c r="K10" s="8">
        <v>55.0</v>
      </c>
      <c r="L10" s="8">
        <v>20.0</v>
      </c>
      <c r="M10" s="9">
        <v>25.0</v>
      </c>
      <c r="N10" s="10">
        <f t="shared" si="1"/>
        <v>0.03125</v>
      </c>
      <c r="O10" s="8">
        <v>45.0</v>
      </c>
      <c r="P10" s="11">
        <f t="shared" si="2"/>
        <v>1.25</v>
      </c>
      <c r="Q10" s="8">
        <v>5.0</v>
      </c>
      <c r="R10" s="8">
        <v>10.0</v>
      </c>
      <c r="S10" s="8">
        <v>5.0</v>
      </c>
      <c r="T10" s="8">
        <f t="shared" si="3"/>
        <v>20</v>
      </c>
      <c r="U10" s="12" t="str">
        <f t="shared" si="4"/>
        <v>BAJA</v>
      </c>
    </row>
    <row r="11" ht="15.75" customHeight="1">
      <c r="A11" s="4" t="s">
        <v>72</v>
      </c>
      <c r="B11" s="15" t="s">
        <v>73</v>
      </c>
      <c r="C11" s="15" t="s">
        <v>74</v>
      </c>
      <c r="D11" s="15" t="s">
        <v>75</v>
      </c>
      <c r="E11" s="4" t="s">
        <v>76</v>
      </c>
      <c r="F11" s="4" t="s">
        <v>74</v>
      </c>
      <c r="G11" s="15" t="s">
        <v>33</v>
      </c>
      <c r="H11" s="16">
        <v>0.3923611111111111</v>
      </c>
      <c r="I11" s="16">
        <v>0.4166666666666667</v>
      </c>
      <c r="J11" s="4" t="s">
        <v>77</v>
      </c>
      <c r="K11" s="8">
        <v>12.0</v>
      </c>
      <c r="L11" s="8">
        <v>25.0</v>
      </c>
      <c r="M11" s="9">
        <v>30.0</v>
      </c>
      <c r="N11" s="10">
        <f t="shared" si="1"/>
        <v>0.02430555556</v>
      </c>
      <c r="O11" s="8">
        <v>35.0</v>
      </c>
      <c r="P11" s="11">
        <f t="shared" si="2"/>
        <v>1.2</v>
      </c>
      <c r="Q11" s="8">
        <v>5.0</v>
      </c>
      <c r="R11" s="8">
        <v>10.0</v>
      </c>
      <c r="S11" s="8">
        <v>15.0</v>
      </c>
      <c r="T11" s="8">
        <f t="shared" si="3"/>
        <v>30</v>
      </c>
      <c r="U11" s="12" t="str">
        <f t="shared" si="4"/>
        <v>MEDIA</v>
      </c>
    </row>
    <row r="12" ht="15.75" customHeight="1">
      <c r="A12" s="4" t="s">
        <v>78</v>
      </c>
      <c r="B12" s="15" t="s">
        <v>79</v>
      </c>
      <c r="C12" s="15" t="s">
        <v>80</v>
      </c>
      <c r="D12" s="4" t="s">
        <v>81</v>
      </c>
      <c r="E12" s="4" t="s">
        <v>82</v>
      </c>
      <c r="F12" s="4" t="s">
        <v>74</v>
      </c>
      <c r="G12" s="5" t="s">
        <v>83</v>
      </c>
      <c r="H12" s="7">
        <v>0.3958333333333333</v>
      </c>
      <c r="I12" s="7">
        <v>0.4201388888888889</v>
      </c>
      <c r="J12" s="5" t="s">
        <v>84</v>
      </c>
      <c r="K12" s="8">
        <v>24.0</v>
      </c>
      <c r="L12" s="8">
        <v>8.0</v>
      </c>
      <c r="M12" s="9">
        <v>30.0</v>
      </c>
      <c r="N12" s="10">
        <f t="shared" si="1"/>
        <v>0.02430555556</v>
      </c>
      <c r="O12" s="8">
        <v>35.0</v>
      </c>
      <c r="P12" s="11">
        <f t="shared" si="2"/>
        <v>3.75</v>
      </c>
      <c r="Q12" s="8">
        <v>0.0</v>
      </c>
      <c r="R12" s="8">
        <v>10.0</v>
      </c>
      <c r="S12" s="8">
        <v>30.0</v>
      </c>
      <c r="T12" s="8">
        <f t="shared" si="3"/>
        <v>40</v>
      </c>
      <c r="U12" s="12" t="str">
        <f t="shared" si="4"/>
        <v>MEDIA</v>
      </c>
    </row>
    <row r="13" ht="15.75" customHeight="1">
      <c r="A13" s="4" t="s">
        <v>85</v>
      </c>
      <c r="B13" s="4" t="s">
        <v>86</v>
      </c>
      <c r="C13" s="4" t="s">
        <v>87</v>
      </c>
      <c r="D13" s="4" t="s">
        <v>88</v>
      </c>
      <c r="E13" s="4" t="s">
        <v>82</v>
      </c>
      <c r="F13" s="4" t="s">
        <v>89</v>
      </c>
      <c r="G13" s="5" t="s">
        <v>27</v>
      </c>
      <c r="H13" s="7">
        <v>0.3888888888888889</v>
      </c>
      <c r="I13" s="7">
        <v>0.4201388888888889</v>
      </c>
      <c r="J13" s="5" t="s">
        <v>90</v>
      </c>
      <c r="K13" s="8">
        <v>30.0</v>
      </c>
      <c r="L13" s="8">
        <v>14.0</v>
      </c>
      <c r="M13" s="9">
        <v>8.0</v>
      </c>
      <c r="N13" s="10">
        <f t="shared" si="1"/>
        <v>0.03125</v>
      </c>
      <c r="O13" s="8">
        <v>45.0</v>
      </c>
      <c r="P13" s="11">
        <f t="shared" si="2"/>
        <v>0.5714285714</v>
      </c>
      <c r="Q13" s="8">
        <v>35.0</v>
      </c>
      <c r="R13" s="8">
        <v>10.0</v>
      </c>
      <c r="S13" s="8">
        <v>30.0</v>
      </c>
      <c r="T13" s="8">
        <f t="shared" si="3"/>
        <v>75</v>
      </c>
      <c r="U13" s="12" t="str">
        <f t="shared" si="4"/>
        <v>ALTA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U2:U13">
    <cfRule type="containsText" dxfId="0" priority="1" operator="containsText" text="BAJA">
      <formula>NOT(ISERROR(SEARCH(("BAJA"),(U2))))</formula>
    </cfRule>
  </conditionalFormatting>
  <conditionalFormatting sqref="U2:U13">
    <cfRule type="containsText" dxfId="1" priority="2" operator="containsText" text="MEDIA">
      <formula>NOT(ISERROR(SEARCH(("MEDIA"),(U2))))</formula>
    </cfRule>
  </conditionalFormatting>
  <conditionalFormatting sqref="U2:U13">
    <cfRule type="containsText" dxfId="2" priority="3" operator="containsText" text="ALTA">
      <formula>NOT(ISERROR(SEARCH(("ALTA"),(U2))))</formula>
    </cfRule>
  </conditionalFormatting>
  <printOptions gridLines="1" horizontalCentered="1"/>
  <pageMargins bottom="0.75" footer="0.0" header="0.0" left="0.7" right="0.7" top="0.75"/>
  <pageSetup paperSize="9" scale="40" cellComments="atEnd" orientation="landscape" pageOrder="overThenDown"/>
  <drawing r:id="rId1"/>
</worksheet>
</file>